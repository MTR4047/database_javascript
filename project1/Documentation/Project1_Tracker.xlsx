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waynestateprod-my.sharepoint.com/personal/gw3477_wayne_edu/Documents/DSE 6100/Project 1/database_javascript/project1/Z_Documentation/"/>
    </mc:Choice>
  </mc:AlternateContent>
  <xr:revisionPtr revIDLastSave="80" documentId="13_ncr:1_{D74B42B2-57D5-4F7B-8640-2E05BD13A891}" xr6:coauthVersionLast="47" xr6:coauthVersionMax="47" xr10:uidLastSave="{606382F8-2EB1-4241-915E-7FC2461EB23B}"/>
  <bookViews>
    <workbookView xWindow="-23148" yWindow="7536" windowWidth="23256" windowHeight="12456" activeTab="1" xr2:uid="{00000000-000D-0000-FFFF-FFFF00000000}"/>
  </bookViews>
  <sheets>
    <sheet name="Checklist" sheetId="3" r:id="rId1"/>
    <sheet name="File map" sheetId="1" r:id="rId2"/>
    <sheet name="Search Panel" sheetId="4" r:id="rId3"/>
  </sheets>
  <definedNames>
    <definedName name="_xlnm._FilterDatabase" localSheetId="0" hidden="1">Checklist!$A$8:$G$46</definedName>
    <definedName name="_xlnm._FilterDatabase" localSheetId="1" hidden="1">'File map'!$A$4:$E$15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C6" i="3"/>
  <c r="C7" i="3"/>
  <c r="E5" i="3" l="1"/>
</calcChain>
</file>

<file path=xl/sharedStrings.xml><?xml version="1.0" encoding="utf-8"?>
<sst xmlns="http://schemas.openxmlformats.org/spreadsheetml/2006/main" count="263" uniqueCount="175">
  <si>
    <t>DSE 6100 Project 1: main files</t>
  </si>
  <si>
    <t>What each main file in the project1 folder does and what it connects to (as of Oct 11, 2026).</t>
  </si>
  <si>
    <t>Layer</t>
  </si>
  <si>
    <t>File</t>
  </si>
  <si>
    <t>Location</t>
  </si>
  <si>
    <t>What it does</t>
  </si>
  <si>
    <t>Talks to</t>
  </si>
  <si>
    <t>Frontend</t>
  </si>
  <si>
    <t>index.html</t>
  </si>
  <si>
    <t>project1/Frontend/</t>
  </si>
  <si>
    <t>Loads index.js and stylesheets.css</t>
  </si>
  <si>
    <t>index.js</t>
  </si>
  <si>
    <t>Sends the form to /update/Users/signIn or /insert/Users. On success it saves the session token in sessionStorage and redirects to the dashboard.</t>
  </si>
  <si>
    <t>app.js (over HTTP); redirects to tableContents.html</t>
  </si>
  <si>
    <t>tableContents.html</t>
  </si>
  <si>
    <t>Loads tableContents.js and stylesheets.css</t>
  </si>
  <si>
    <t>tableContents.js</t>
  </si>
  <si>
    <t>app.js (over HTTP); imports constantsSQL.js</t>
  </si>
  <si>
    <t>stylesheets.css</t>
  </si>
  <si>
    <t>Layout and look for both pages: the centered login card, table borders, pagination buttons.</t>
  </si>
  <si>
    <t>Used by both HTML pages</t>
  </si>
  <si>
    <t>Shared</t>
  </si>
  <si>
    <t>constantsSQL.js</t>
  </si>
  <si>
    <t>project1/Public/</t>
  </si>
  <si>
    <t>Imported by tableContents.js, app.js, dbService.js</t>
  </si>
  <si>
    <t>Backend</t>
  </si>
  <si>
    <t>app.js</t>
  </si>
  <si>
    <t>project1/Backend/</t>
  </si>
  <si>
    <t>Called by index.js and tableContents.js; calls dbService.js</t>
  </si>
  <si>
    <t>dbService.js</t>
  </si>
  <si>
    <t>Called by app.js; reads .env; queries the Users table</t>
  </si>
  <si>
    <t>.env</t>
  </si>
  <si>
    <t>Database connection settings (host, user, password, database name, port), read by dbService.js at startup.</t>
  </si>
  <si>
    <t>Read by dbService.js</t>
  </si>
  <si>
    <t>package.json</t>
  </si>
  <si>
    <t>Lists the libraries (express, mysql, cors, dotenv, nodemon) and the npm start command.</t>
  </si>
  <si>
    <t>Used by npm</t>
  </si>
  <si>
    <t>Database</t>
  </si>
  <si>
    <t>Users table</t>
  </si>
  <si>
    <t>MySQL, web_app database</t>
  </si>
  <si>
    <t>The actual data: username (primary key), password hash, first and last name, salary, age, registerday, signintime.</t>
  </si>
  <si>
    <t>Queried by dbService.js</t>
  </si>
  <si>
    <t>Not started</t>
  </si>
  <si>
    <t>Add it to .gitignore (it holds the database password).</t>
  </si>
  <si>
    <t>Take .env out of the repo</t>
  </si>
  <si>
    <t>7. Optional cleanup</t>
  </si>
  <si>
    <t>oldIndex.html, oldIndex.js, and the names routes and functions.</t>
  </si>
  <si>
    <t>Remove starter names code</t>
  </si>
  <si>
    <t>Remove /debug and /testdb from app.js.</t>
  </si>
  <si>
    <t>Remove debug routes</t>
  </si>
  <si>
    <t>6. Deliverables</t>
  </si>
  <si>
    <t>Local vs remote repositories, clone, pull, fetch, add, commit and push, shown by both teammates.</t>
  </si>
  <si>
    <t>Video, Git part</t>
  </si>
  <si>
    <t>Register, sign in, a rejected SQL-injection attempt, then all 8 searches with an explanation of each result.</t>
  </si>
  <si>
    <t>Video, app part</t>
  </si>
  <si>
    <t>The CREATE TABLE Users, the test-data INSERTs, and the SQL behind each of the 10 features with example values.</t>
  </si>
  <si>
    <t>sql.txt</t>
  </si>
  <si>
    <t>Against the test data; check every result by hand.</t>
  </si>
  <si>
    <t>Test all 8 searches</t>
  </si>
  <si>
    <t>5. Search panel</t>
  </si>
  <si>
    <t>Show them in the search-results table, 'No records found' when empty, and errors on the error line.</t>
  </si>
  <si>
    <t>Results</t>
  </si>
  <si>
    <t>POST /search/Users/actions with action, page and params, sending the session token header.</t>
  </si>
  <si>
    <t>Request</t>
  </si>
  <si>
    <t>Required boxes filled, numbers where needed, min not above max.</t>
  </si>
  <si>
    <t>Validation</t>
  </si>
  <si>
    <t>When the choice changes, show the right input boxes for that search (none for features 8 and 10). See the Searches tab.</t>
  </si>
  <si>
    <t>Inputs</t>
  </si>
  <si>
    <t>Build its options from searchSelect (tableContents.js lines 19-58).</t>
  </si>
  <si>
    <t>Dropdown</t>
  </si>
  <si>
    <t>tableContents.html: a dropdown, an area for inputs, a Search button and an error line, above the search-results table.</t>
  </si>
  <si>
    <t>Panel markup</t>
  </si>
  <si>
    <t>Show 2026-10-11 instead of 2026-10-11T04:00:00.000Z, and sign-in times in local time.</t>
  </si>
  <si>
    <t>Readable dates</t>
  </si>
  <si>
    <t>4. Dashboard tables and pagination</t>
  </si>
  <si>
    <t>Wire up Previous/Next to re-run the same search with the next page number. The backend already returns results 25 at a time.</t>
  </si>
  <si>
    <t>Search-results pagination</t>
  </si>
  <si>
    <t>Show whatever a search returns, with column headers that match the search.</t>
  </si>
  <si>
    <t>Search-results table (bottom)</t>
  </si>
  <si>
    <t>tableContents.html line 34: rename the duplicate id to allUserDisplayTable-pagination so the existing buttons work.</t>
  </si>
  <si>
    <t>All-users pagination</t>
  </si>
  <si>
    <t>Fill it with the signed-in user's details; remove its Previous/Next buttons since it shows one row.</t>
  </si>
  <si>
    <t>Current-user table (top)</t>
  </si>
  <si>
    <t>On the dashboard, using the existing PATCH /update/Users route (needs the profile-update fix in section 1).</t>
  </si>
  <si>
    <t>3. Profile fields</t>
  </si>
  <si>
    <t>Test users inserted with SQL can't sign in, because their passwords aren't hashed.</t>
  </si>
  <si>
    <t>Register 2-3 users through the website</t>
  </si>
  <si>
    <t>2. Database table and test data</t>
  </si>
  <si>
    <t>Varied salaries and ages; several registered the same day as one chosen user (feature 9); some before and after that user (feature 7); a few registered today (feature 10); some with signintime empty (feature 8).</t>
  </si>
  <si>
    <t>Insert about 15 test users</t>
  </si>
  <si>
    <t>In phpMyAdmin, with password VARCHAR(255). With the README's VARCHAR(50), every registration fails with 'Data too long'.</t>
  </si>
  <si>
    <t>Create the Users table</t>
  </si>
  <si>
    <t>When a request returns 401, send the user back to the login page.</t>
  </si>
  <si>
    <t>Expired sessions</t>
  </si>
  <si>
    <t>1. Fixes to existing code</t>
  </si>
  <si>
    <t>tableContents.js lines 47 and 55: 'same day as' and 'registered today'.</t>
  </si>
  <si>
    <t>Search labels</t>
  </si>
  <si>
    <t>dbService.js line 339: only accept real column names (SQL injection hole).</t>
  </si>
  <si>
    <t>Sort column</t>
  </si>
  <si>
    <t>dbService.js line 364: LIKE ? becomes = ?.</t>
  </si>
  <si>
    <t>Sign-in lookup</t>
  </si>
  <si>
    <t>dbService.js line 464: ALLOWED_UPDATE_SET becomes DbService.ALLOWED_USERS_UPDATE_SET.</t>
  </si>
  <si>
    <t>Profile update</t>
  </si>
  <si>
    <t>app.js line 407: pass the page number first.</t>
  </si>
  <si>
    <t>Name route</t>
  </si>
  <si>
    <t>dbService.js line 509: CONCAT becomes CONCAT_WS so users with no last name still match.</t>
  </si>
  <si>
    <t>Name search</t>
  </si>
  <si>
    <t>dbService.js line 724: check registerday = CURDATE(), not sign-in time.</t>
  </si>
  <si>
    <t>Registered today</t>
  </si>
  <si>
    <t>dbService.js line 698: = NULL becomes IS NULL.</t>
  </si>
  <si>
    <t>Never signed in</t>
  </si>
  <si>
    <t>dbService.js line 673: rewrite the WHERE clause.</t>
  </si>
  <si>
    <t>Same day as john</t>
  </si>
  <si>
    <t>dbService.js line 641: &gt;= becomes &gt;.</t>
  </si>
  <si>
    <t>Registered after john</t>
  </si>
  <si>
    <t>dbService.js lines 596-613: same fix as salary; remove the ==.</t>
  </si>
  <si>
    <t>Age range</t>
  </si>
  <si>
    <t>dbService.js lines 558-577: declare queryParams, use Math.min/Math.max and BETWEEN.</t>
  </si>
  <si>
    <t>Salary range</t>
  </si>
  <si>
    <t>tableContents.js line 290: change PATCH to POST.</t>
  </si>
  <si>
    <t>Sign Out request</t>
  </si>
  <si>
    <t>Done</t>
  </si>
  <si>
    <t>tableContents.js line 284: add async. Done locally Oct 11, not yet committed.</t>
  </si>
  <si>
    <t>Sign Out handler</t>
  </si>
  <si>
    <t>app.js line 395: replace searchHandler with searchFunc and stop calling .then() on an awaited value. Every search returns error 500 until this is done.</t>
  </si>
  <si>
    <t>Search endpoint</t>
  </si>
  <si>
    <t>Notes</t>
  </si>
  <si>
    <t>Owner</t>
  </si>
  <si>
    <t>Status</t>
  </si>
  <si>
    <t>Details</t>
  </si>
  <si>
    <t>Item</t>
  </si>
  <si>
    <t>Section</t>
  </si>
  <si>
    <t>#</t>
  </si>
  <si>
    <t>In progress</t>
  </si>
  <si>
    <t>Percent done</t>
  </si>
  <si>
    <t>Total items</t>
  </si>
  <si>
    <t>Progress</t>
  </si>
  <si>
    <t>Based on GitHub main as of commit 62ca90c (Oct 9, 2026). If your teammate has unpushed work, some items may already be done. Edit the Status (dropdown), Owner and Notes columns.</t>
  </si>
  <si>
    <t>DSE 6100 Project 1: remaining work checklist</t>
  </si>
  <si>
    <t>searchUsersSignedInToday (rename suggested)</t>
  </si>
  <si>
    <t>None</t>
  </si>
  <si>
    <t>searchUsersRegistrationTimeSameAsUserID</t>
  </si>
  <si>
    <t>Username</t>
  </si>
  <si>
    <t>Registered the same day as a user</t>
  </si>
  <si>
    <t>searchNeverSignedInUsers</t>
  </si>
  <si>
    <t>searchUsersRegistrationAfterUserID</t>
  </si>
  <si>
    <t>Registered after a user</t>
  </si>
  <si>
    <t>searchBetweenUsersAges</t>
  </si>
  <si>
    <t>Min age, max age</t>
  </si>
  <si>
    <t>Age between X and Y</t>
  </si>
  <si>
    <t>searchBetweenUsersSalary</t>
  </si>
  <si>
    <t>Min salary, max salary</t>
  </si>
  <si>
    <t>Salary between X and Y</t>
  </si>
  <si>
    <t>searchByUsersID</t>
  </si>
  <si>
    <t>By username</t>
  </si>
  <si>
    <t>searchByUsersName</t>
  </si>
  <si>
    <t>Name</t>
  </si>
  <si>
    <t>By first and/or last name</t>
  </si>
  <si>
    <t>Action key</t>
  </si>
  <si>
    <t>Search</t>
  </si>
  <si>
    <t>Feature</t>
  </si>
  <si>
    <t>Options and inputs are defined in searchSelect (tableContents.js lines 19-58); action key = the value sent to POST /search/Users/actions.</t>
  </si>
  <si>
    <t>The 8 searches the panel needs</t>
  </si>
  <si>
    <t>Not sure what this means, we do LIKE ? for a case insensitive search on username</t>
  </si>
  <si>
    <t>Not sure what this is talking about; this is already the case</t>
  </si>
  <si>
    <t>Not sure what this is talking about</t>
  </si>
  <si>
    <r>
      <t xml:space="preserve">Not sure what this means, we wouldn't use the registered date to find out users whom signed in today
</t>
    </r>
    <r>
      <rPr>
        <b/>
        <sz val="10"/>
        <color rgb="FFFF0000"/>
        <rFont val="Arial"/>
        <family val="2"/>
      </rPr>
      <t>--- In the readme it says to return the students who 'registered' today, not signed in today</t>
    </r>
  </si>
  <si>
    <t>edit-profile form</t>
  </si>
  <si>
    <t>N/A</t>
  </si>
  <si>
    <t>Login page; Sends sign-in or register to the backend</t>
  </si>
  <si>
    <t>Dashboard layout: header, My Account table, all-users table, search panel, search-results table</t>
  </si>
  <si>
    <t>Fills the tables. It loads all users 25 at a time, handles Sign Out and Delete Account, and sends users back to the login page if they have no token. The search options are defined in searchSelect, but nothing builds a search form from them yet.</t>
  </si>
  <si>
    <t>Shared names (table, columns, the 8 search types) used by both frontend and backend</t>
  </si>
  <si>
    <t>Routes: sign in, register, sign out, update profile, delete account, list users, and one search route for all 8 searches. It also checks tokens.</t>
  </si>
  <si>
    <t>One function per database action. It hashes passwords at registration, checks them at sign-in, and runs every query with ? placeholders.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</si>
</sst>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name val="Arial"/>
    </font>
    <font>
      <i/>
      <sz val="10"/>
      <color rgb="FF595959"/>
      <name val="Arial"/>
    </font>
    <font>
      <b/>
      <sz val="11"/>
      <color rgb="FFFFFFFF"/>
      <name val="Arial"/>
    </font>
    <font>
      <sz val="10"/>
      <name val="Arial"/>
    </font>
    <font>
      <b/>
      <sz val="10"/>
      <name val="Arial"/>
    </font>
    <font>
      <sz val="11"/>
      <color theme="1"/>
      <name val="Calibri"/>
      <family val="2"/>
      <charset val="1"/>
    </font>
    <font>
      <sz val="10"/>
      <name val="Arial"/>
      <charset val="1"/>
    </font>
    <font>
      <sz val="10"/>
      <color rgb="FF0000FF"/>
      <name val="Arial"/>
      <charset val="1"/>
    </font>
    <font>
      <b/>
      <sz val="10"/>
      <name val="Arial"/>
      <charset val="1"/>
    </font>
    <font>
      <b/>
      <sz val="11"/>
      <color rgb="FFFFFFFF"/>
      <name val="Arial"/>
      <charset val="1"/>
    </font>
    <font>
      <b/>
      <sz val="11"/>
      <name val="Arial"/>
      <charset val="1"/>
    </font>
    <font>
      <i/>
      <sz val="10"/>
      <color rgb="FF595959"/>
      <name val="Arial"/>
      <charset val="1"/>
    </font>
    <font>
      <b/>
      <sz val="14"/>
      <name val="Arial"/>
      <charset val="1"/>
    </font>
    <font>
      <sz val="10"/>
      <name val="Arial"/>
      <family val="2"/>
      <charset val="1"/>
    </font>
    <font>
      <sz val="10"/>
      <name val="Arial"/>
      <family val="2"/>
    </font>
    <font>
      <b/>
      <sz val="10"/>
      <name val="Arial"/>
      <family val="2"/>
    </font>
    <font>
      <b/>
      <sz val="10"/>
      <color rgb="FFFF0000"/>
      <name val="Arial"/>
      <family val="2"/>
    </font>
  </fonts>
  <fills count="10">
    <fill>
      <patternFill patternType="none"/>
    </fill>
    <fill>
      <patternFill patternType="gray125"/>
    </fill>
    <fill>
      <patternFill patternType="solid">
        <fgColor rgb="FF1F3864"/>
      </patternFill>
    </fill>
    <fill>
      <patternFill patternType="solid">
        <fgColor rgb="FFF2F2F2"/>
      </patternFill>
    </fill>
    <fill>
      <patternFill patternType="solid">
        <fgColor rgb="FFE1F5EE"/>
      </patternFill>
    </fill>
    <fill>
      <patternFill patternType="solid">
        <fgColor rgb="FFFAECE7"/>
      </patternFill>
    </fill>
    <fill>
      <patternFill patternType="solid">
        <fgColor rgb="FF1F3864"/>
        <bgColor rgb="FF333399"/>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6" fillId="0" borderId="0"/>
  </cellStyleXfs>
  <cellXfs count="35">
    <xf numFmtId="0" fontId="0" fillId="0" borderId="0" xfId="0"/>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6" fillId="0" borderId="0" xfId="1"/>
    <xf numFmtId="0" fontId="7" fillId="0" borderId="1" xfId="1" applyFont="1" applyBorder="1" applyAlignment="1">
      <alignment vertical="top" wrapText="1"/>
    </xf>
    <xf numFmtId="0" fontId="8" fillId="0" borderId="1" xfId="1" applyFont="1" applyBorder="1" applyAlignment="1">
      <alignment vertical="top" wrapText="1"/>
    </xf>
    <xf numFmtId="0" fontId="9" fillId="0" borderId="1" xfId="1" applyFont="1" applyBorder="1" applyAlignment="1">
      <alignment vertical="top" wrapText="1"/>
    </xf>
    <xf numFmtId="0" fontId="7" fillId="0" borderId="1" xfId="1" applyFont="1" applyBorder="1" applyAlignment="1">
      <alignment horizontal="center" vertical="top" wrapText="1"/>
    </xf>
    <xf numFmtId="0" fontId="10" fillId="6" borderId="1" xfId="1" applyFont="1" applyFill="1" applyBorder="1" applyAlignment="1">
      <alignment vertical="center"/>
    </xf>
    <xf numFmtId="0" fontId="7" fillId="0" borderId="0" xfId="1" applyFont="1" applyAlignment="1">
      <alignment horizontal="left"/>
    </xf>
    <xf numFmtId="0" fontId="9" fillId="0" borderId="0" xfId="1" applyFont="1"/>
    <xf numFmtId="9" fontId="7" fillId="0" borderId="0" xfId="1" applyNumberFormat="1" applyFont="1" applyAlignment="1">
      <alignment horizontal="left"/>
    </xf>
    <xf numFmtId="0" fontId="9" fillId="0" borderId="0" xfId="1" applyFont="1" applyAlignment="1">
      <alignment horizontal="right"/>
    </xf>
    <xf numFmtId="0" fontId="11" fillId="0" borderId="0" xfId="1" applyFont="1"/>
    <xf numFmtId="0" fontId="13" fillId="0" borderId="0" xfId="1" applyFont="1"/>
    <xf numFmtId="0" fontId="10" fillId="6" borderId="1" xfId="1" applyFont="1" applyFill="1" applyBorder="1"/>
    <xf numFmtId="0" fontId="12" fillId="0" borderId="0" xfId="1" applyFont="1"/>
    <xf numFmtId="0" fontId="14" fillId="0" borderId="1" xfId="1" applyFont="1" applyBorder="1" applyAlignment="1">
      <alignment vertical="top" wrapText="1"/>
    </xf>
    <xf numFmtId="0" fontId="15" fillId="0" borderId="1" xfId="1" applyFont="1" applyBorder="1" applyAlignment="1">
      <alignment vertical="top" wrapText="1"/>
    </xf>
    <xf numFmtId="0" fontId="16" fillId="0" borderId="1" xfId="1" applyFont="1" applyBorder="1" applyAlignment="1">
      <alignment vertical="top" wrapText="1"/>
    </xf>
    <xf numFmtId="0" fontId="12" fillId="0" borderId="0" xfId="1" applyFont="1" applyAlignment="1">
      <alignment vertical="top" wrapText="1"/>
    </xf>
    <xf numFmtId="0" fontId="1" fillId="0" borderId="0" xfId="0" applyFont="1" applyAlignment="1">
      <alignment horizontal="center"/>
    </xf>
    <xf numFmtId="0" fontId="2" fillId="0" borderId="0" xfId="0" applyFont="1" applyAlignment="1">
      <alignment horizontal="center"/>
    </xf>
    <xf numFmtId="0" fontId="0" fillId="0" borderId="0" xfId="0" applyAlignment="1">
      <alignment wrapText="1"/>
    </xf>
    <xf numFmtId="0" fontId="4" fillId="7" borderId="1" xfId="0" applyFont="1" applyFill="1" applyBorder="1" applyAlignment="1">
      <alignment vertical="top" wrapText="1"/>
    </xf>
    <xf numFmtId="0" fontId="5" fillId="7" borderId="1" xfId="0" applyFont="1" applyFill="1" applyBorder="1" applyAlignment="1">
      <alignment vertical="top" wrapText="1"/>
    </xf>
    <xf numFmtId="0" fontId="4" fillId="8" borderId="1" xfId="0" applyFont="1" applyFill="1" applyBorder="1" applyAlignment="1">
      <alignment vertical="top" wrapText="1"/>
    </xf>
    <xf numFmtId="0" fontId="5" fillId="8" borderId="1" xfId="0" applyFont="1" applyFill="1" applyBorder="1" applyAlignment="1">
      <alignment vertical="top" wrapText="1"/>
    </xf>
    <xf numFmtId="0" fontId="4" fillId="9" borderId="1" xfId="0" applyFont="1" applyFill="1" applyBorder="1" applyAlignment="1">
      <alignment vertical="top" wrapText="1"/>
    </xf>
    <xf numFmtId="0" fontId="5" fillId="9" borderId="1" xfId="0" applyFont="1" applyFill="1" applyBorder="1" applyAlignment="1">
      <alignment vertical="top" wrapText="1"/>
    </xf>
  </cellXfs>
  <cellStyles count="2">
    <cellStyle name="Normal" xfId="0" builtinId="0"/>
    <cellStyle name="Normal 2" xfId="1" xr:uid="{FEA456FB-2D08-45A4-B267-54834F765DE8}"/>
  </cellStyles>
  <dxfs count="2">
    <dxf>
      <fill>
        <patternFill>
          <bgColor rgb="FFFFF2CC"/>
        </patternFill>
      </fill>
    </dxf>
    <dxf>
      <font>
        <color rgb="FF6B6B6B"/>
      </font>
      <fill>
        <patternFill>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106683</xdr:colOff>
      <xdr:row>1</xdr:row>
      <xdr:rowOff>38950</xdr:rowOff>
    </xdr:from>
    <xdr:to>
      <xdr:col>11</xdr:col>
      <xdr:colOff>307429</xdr:colOff>
      <xdr:row>20</xdr:row>
      <xdr:rowOff>23709</xdr:rowOff>
    </xdr:to>
    <xdr:pic>
      <xdr:nvPicPr>
        <xdr:cNvPr id="3" name="Picture 2">
          <a:extLst>
            <a:ext uri="{FF2B5EF4-FFF2-40B4-BE49-F238E27FC236}">
              <a16:creationId xmlns:a16="http://schemas.microsoft.com/office/drawing/2014/main" id="{44A4BFE1-2C2F-DC71-9513-D31127BC5199}"/>
            </a:ext>
          </a:extLst>
        </xdr:cNvPr>
        <xdr:cNvPicPr>
          <a:picLocks noChangeAspect="1"/>
        </xdr:cNvPicPr>
      </xdr:nvPicPr>
      <xdr:blipFill>
        <a:blip xmlns:r="http://schemas.openxmlformats.org/officeDocument/2006/relationships" r:embed="rId1"/>
        <a:stretch>
          <a:fillRect/>
        </a:stretch>
      </xdr:blipFill>
      <xdr:spPr>
        <a:xfrm>
          <a:off x="10275150" y="259083"/>
          <a:ext cx="4061546" cy="53610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1BBE-1456-4B5D-BA86-ED464C6FFE36}">
  <dimension ref="A1:G46"/>
  <sheetViews>
    <sheetView showGridLines="0" zoomScaleNormal="100" workbookViewId="0">
      <pane xSplit="3" ySplit="8" topLeftCell="D36" activePane="bottomRight" state="frozen"/>
      <selection pane="topRight" activeCell="D1" sqref="D1"/>
      <selection pane="bottomLeft" activeCell="A9" sqref="A9"/>
      <selection pane="bottomRight" activeCell="C51" sqref="C51"/>
    </sheetView>
  </sheetViews>
  <sheetFormatPr defaultColWidth="8.703125" defaultRowHeight="14.35" x14ac:dyDescent="0.5"/>
  <cols>
    <col min="1" max="1" width="5" style="8" customWidth="1"/>
    <col min="2" max="2" width="26" style="8" customWidth="1"/>
    <col min="3" max="3" width="26.64453125" style="8" bestFit="1" customWidth="1"/>
    <col min="4" max="4" width="70" style="8" customWidth="1"/>
    <col min="5" max="6" width="14" style="8" customWidth="1"/>
    <col min="7" max="7" width="28" style="8" customWidth="1"/>
    <col min="8" max="16384" width="8.703125" style="8"/>
  </cols>
  <sheetData>
    <row r="1" spans="1:7" ht="17.7" x14ac:dyDescent="0.55000000000000004">
      <c r="A1" s="19" t="s">
        <v>138</v>
      </c>
    </row>
    <row r="2" spans="1:7" ht="27.75" customHeight="1" x14ac:dyDescent="0.5">
      <c r="A2" s="25" t="s">
        <v>137</v>
      </c>
      <c r="B2" s="25"/>
      <c r="C2" s="25"/>
      <c r="D2" s="25"/>
      <c r="E2" s="25"/>
      <c r="F2" s="25"/>
      <c r="G2" s="25"/>
    </row>
    <row r="4" spans="1:7" x14ac:dyDescent="0.5">
      <c r="A4" s="18" t="s">
        <v>136</v>
      </c>
    </row>
    <row r="5" spans="1:7" x14ac:dyDescent="0.5">
      <c r="B5" s="15" t="s">
        <v>135</v>
      </c>
      <c r="C5" s="14">
        <f>COUNTA(C9:C46)</f>
        <v>38</v>
      </c>
      <c r="D5" s="17" t="s">
        <v>134</v>
      </c>
      <c r="E5" s="16">
        <f>IFERROR(C6/C5,0)</f>
        <v>0.81578947368421051</v>
      </c>
    </row>
    <row r="6" spans="1:7" x14ac:dyDescent="0.5">
      <c r="B6" s="15" t="s">
        <v>121</v>
      </c>
      <c r="C6" s="14">
        <f>COUNTIF(E9:E46,"Done")</f>
        <v>31</v>
      </c>
    </row>
    <row r="7" spans="1:7" x14ac:dyDescent="0.5">
      <c r="B7" s="15" t="s">
        <v>133</v>
      </c>
      <c r="C7" s="14">
        <f>COUNTIF(E9:E46,"In progress")</f>
        <v>0</v>
      </c>
    </row>
    <row r="8" spans="1:7" x14ac:dyDescent="0.5">
      <c r="A8" s="13" t="s">
        <v>132</v>
      </c>
      <c r="B8" s="13" t="s">
        <v>131</v>
      </c>
      <c r="C8" s="13" t="s">
        <v>130</v>
      </c>
      <c r="D8" s="13" t="s">
        <v>129</v>
      </c>
      <c r="E8" s="13" t="s">
        <v>128</v>
      </c>
      <c r="F8" s="13" t="s">
        <v>127</v>
      </c>
      <c r="G8" s="13" t="s">
        <v>126</v>
      </c>
    </row>
    <row r="9" spans="1:7" ht="25.35" x14ac:dyDescent="0.5">
      <c r="A9" s="12">
        <v>1</v>
      </c>
      <c r="B9" s="9" t="s">
        <v>94</v>
      </c>
      <c r="C9" s="11" t="s">
        <v>125</v>
      </c>
      <c r="D9" s="9" t="s">
        <v>124</v>
      </c>
      <c r="E9" s="10" t="s">
        <v>121</v>
      </c>
      <c r="F9" s="9"/>
      <c r="G9" s="9"/>
    </row>
    <row r="10" spans="1:7" x14ac:dyDescent="0.5">
      <c r="A10" s="12">
        <v>2</v>
      </c>
      <c r="B10" s="9" t="s">
        <v>94</v>
      </c>
      <c r="C10" s="11" t="s">
        <v>123</v>
      </c>
      <c r="D10" s="9" t="s">
        <v>122</v>
      </c>
      <c r="E10" s="10" t="s">
        <v>121</v>
      </c>
      <c r="F10" s="9"/>
      <c r="G10" s="9"/>
    </row>
    <row r="11" spans="1:7" x14ac:dyDescent="0.5">
      <c r="A11" s="12">
        <v>3</v>
      </c>
      <c r="B11" s="9" t="s">
        <v>94</v>
      </c>
      <c r="C11" s="11" t="s">
        <v>120</v>
      </c>
      <c r="D11" s="9" t="s">
        <v>119</v>
      </c>
      <c r="E11" s="10" t="s">
        <v>121</v>
      </c>
      <c r="F11" s="9"/>
      <c r="G11" s="9"/>
    </row>
    <row r="12" spans="1:7" ht="25.35" x14ac:dyDescent="0.5">
      <c r="A12" s="12">
        <v>4</v>
      </c>
      <c r="B12" s="9" t="s">
        <v>94</v>
      </c>
      <c r="C12" s="11" t="s">
        <v>118</v>
      </c>
      <c r="D12" s="9" t="s">
        <v>117</v>
      </c>
      <c r="E12" s="10" t="s">
        <v>121</v>
      </c>
      <c r="F12" s="9"/>
      <c r="G12" s="9"/>
    </row>
    <row r="13" spans="1:7" x14ac:dyDescent="0.5">
      <c r="A13" s="12">
        <v>5</v>
      </c>
      <c r="B13" s="9" t="s">
        <v>94</v>
      </c>
      <c r="C13" s="11" t="s">
        <v>116</v>
      </c>
      <c r="D13" s="9" t="s">
        <v>115</v>
      </c>
      <c r="E13" s="10" t="s">
        <v>121</v>
      </c>
      <c r="F13" s="9"/>
      <c r="G13" s="9"/>
    </row>
    <row r="14" spans="1:7" x14ac:dyDescent="0.5">
      <c r="A14" s="12">
        <v>6</v>
      </c>
      <c r="B14" s="9" t="s">
        <v>94</v>
      </c>
      <c r="C14" s="11" t="s">
        <v>114</v>
      </c>
      <c r="D14" s="9" t="s">
        <v>113</v>
      </c>
      <c r="E14" s="10" t="s">
        <v>121</v>
      </c>
      <c r="F14" s="9"/>
      <c r="G14" s="9"/>
    </row>
    <row r="15" spans="1:7" x14ac:dyDescent="0.5">
      <c r="A15" s="12">
        <v>7</v>
      </c>
      <c r="B15" s="9" t="s">
        <v>94</v>
      </c>
      <c r="C15" s="11" t="s">
        <v>112</v>
      </c>
      <c r="D15" s="9" t="s">
        <v>111</v>
      </c>
      <c r="E15" s="10" t="s">
        <v>121</v>
      </c>
      <c r="F15" s="9"/>
      <c r="G15" s="9"/>
    </row>
    <row r="16" spans="1:7" x14ac:dyDescent="0.5">
      <c r="A16" s="12">
        <v>8</v>
      </c>
      <c r="B16" s="9" t="s">
        <v>94</v>
      </c>
      <c r="C16" s="11" t="s">
        <v>110</v>
      </c>
      <c r="D16" s="9" t="s">
        <v>109</v>
      </c>
      <c r="E16" s="10" t="s">
        <v>121</v>
      </c>
      <c r="F16" s="9"/>
      <c r="G16" s="9"/>
    </row>
    <row r="17" spans="1:7" ht="101.35" x14ac:dyDescent="0.5">
      <c r="A17" s="12">
        <v>9</v>
      </c>
      <c r="B17" s="9" t="s">
        <v>94</v>
      </c>
      <c r="C17" s="11" t="s">
        <v>108</v>
      </c>
      <c r="D17" s="9" t="s">
        <v>107</v>
      </c>
      <c r="E17" s="10" t="s">
        <v>121</v>
      </c>
      <c r="F17" s="9"/>
      <c r="G17" s="23" t="s">
        <v>166</v>
      </c>
    </row>
    <row r="18" spans="1:7" ht="25.35" x14ac:dyDescent="0.5">
      <c r="A18" s="12">
        <v>10</v>
      </c>
      <c r="B18" s="9" t="s">
        <v>94</v>
      </c>
      <c r="C18" s="11" t="s">
        <v>106</v>
      </c>
      <c r="D18" s="9" t="s">
        <v>105</v>
      </c>
      <c r="E18" s="10" t="s">
        <v>121</v>
      </c>
      <c r="F18" s="9"/>
      <c r="G18" s="9"/>
    </row>
    <row r="19" spans="1:7" x14ac:dyDescent="0.5">
      <c r="A19" s="12">
        <v>11</v>
      </c>
      <c r="B19" s="9" t="s">
        <v>94</v>
      </c>
      <c r="C19" s="11" t="s">
        <v>104</v>
      </c>
      <c r="D19" s="9" t="s">
        <v>103</v>
      </c>
      <c r="E19" s="10" t="s">
        <v>121</v>
      </c>
      <c r="F19" s="9"/>
      <c r="G19" s="9"/>
    </row>
    <row r="20" spans="1:7" ht="25.35" x14ac:dyDescent="0.5">
      <c r="A20" s="12">
        <v>12</v>
      </c>
      <c r="B20" s="9" t="s">
        <v>94</v>
      </c>
      <c r="C20" s="11" t="s">
        <v>102</v>
      </c>
      <c r="D20" s="9" t="s">
        <v>101</v>
      </c>
      <c r="E20" s="10" t="s">
        <v>121</v>
      </c>
      <c r="F20" s="9"/>
      <c r="G20" s="9"/>
    </row>
    <row r="21" spans="1:7" ht="38" x14ac:dyDescent="0.5">
      <c r="A21" s="12">
        <v>13</v>
      </c>
      <c r="B21" s="9" t="s">
        <v>94</v>
      </c>
      <c r="C21" s="11" t="s">
        <v>100</v>
      </c>
      <c r="D21" s="9" t="s">
        <v>99</v>
      </c>
      <c r="E21" s="10" t="s">
        <v>121</v>
      </c>
      <c r="F21" s="9"/>
      <c r="G21" s="22" t="s">
        <v>163</v>
      </c>
    </row>
    <row r="22" spans="1:7" ht="25.35" x14ac:dyDescent="0.5">
      <c r="A22" s="12">
        <v>14</v>
      </c>
      <c r="B22" s="9" t="s">
        <v>94</v>
      </c>
      <c r="C22" s="11" t="s">
        <v>98</v>
      </c>
      <c r="D22" s="9" t="s">
        <v>97</v>
      </c>
      <c r="E22" s="10" t="s">
        <v>121</v>
      </c>
      <c r="F22" s="9"/>
      <c r="G22" s="22" t="s">
        <v>164</v>
      </c>
    </row>
    <row r="23" spans="1:7" x14ac:dyDescent="0.5">
      <c r="A23" s="12">
        <v>15</v>
      </c>
      <c r="B23" s="9" t="s">
        <v>94</v>
      </c>
      <c r="C23" s="11" t="s">
        <v>96</v>
      </c>
      <c r="D23" s="9" t="s">
        <v>95</v>
      </c>
      <c r="E23" s="10" t="s">
        <v>121</v>
      </c>
      <c r="F23" s="9"/>
      <c r="G23" s="22" t="s">
        <v>165</v>
      </c>
    </row>
    <row r="24" spans="1:7" x14ac:dyDescent="0.5">
      <c r="A24" s="12">
        <v>16</v>
      </c>
      <c r="B24" s="9" t="s">
        <v>94</v>
      </c>
      <c r="C24" s="11" t="s">
        <v>93</v>
      </c>
      <c r="D24" s="9" t="s">
        <v>92</v>
      </c>
      <c r="E24" s="10" t="s">
        <v>42</v>
      </c>
      <c r="F24" s="9"/>
      <c r="G24" s="9"/>
    </row>
    <row r="25" spans="1:7" ht="25.35" x14ac:dyDescent="0.5">
      <c r="A25" s="12">
        <v>17</v>
      </c>
      <c r="B25" s="9" t="s">
        <v>87</v>
      </c>
      <c r="C25" s="11" t="s">
        <v>91</v>
      </c>
      <c r="D25" s="9" t="s">
        <v>90</v>
      </c>
      <c r="E25" s="10" t="s">
        <v>121</v>
      </c>
      <c r="F25" s="9"/>
      <c r="G25" s="9"/>
    </row>
    <row r="26" spans="1:7" ht="38" x14ac:dyDescent="0.5">
      <c r="A26" s="12">
        <v>18</v>
      </c>
      <c r="B26" s="9" t="s">
        <v>87</v>
      </c>
      <c r="C26" s="11" t="s">
        <v>89</v>
      </c>
      <c r="D26" s="9" t="s">
        <v>88</v>
      </c>
      <c r="E26" s="10" t="s">
        <v>121</v>
      </c>
      <c r="F26" s="9"/>
      <c r="G26" s="9"/>
    </row>
    <row r="27" spans="1:7" ht="25.35" x14ac:dyDescent="0.5">
      <c r="A27" s="12">
        <v>19</v>
      </c>
      <c r="B27" s="9" t="s">
        <v>87</v>
      </c>
      <c r="C27" s="11" t="s">
        <v>86</v>
      </c>
      <c r="D27" s="9" t="s">
        <v>85</v>
      </c>
      <c r="E27" s="10" t="s">
        <v>121</v>
      </c>
      <c r="F27" s="9"/>
      <c r="G27" s="9"/>
    </row>
    <row r="28" spans="1:7" ht="25.35" x14ac:dyDescent="0.5">
      <c r="A28" s="12">
        <v>24</v>
      </c>
      <c r="B28" s="9" t="s">
        <v>84</v>
      </c>
      <c r="C28" s="24" t="s">
        <v>167</v>
      </c>
      <c r="D28" s="9" t="s">
        <v>83</v>
      </c>
      <c r="E28" s="10" t="s">
        <v>121</v>
      </c>
      <c r="F28" s="9"/>
      <c r="G28" s="9"/>
    </row>
    <row r="29" spans="1:7" ht="25.35" x14ac:dyDescent="0.5">
      <c r="A29" s="12">
        <v>25</v>
      </c>
      <c r="B29" s="9" t="s">
        <v>74</v>
      </c>
      <c r="C29" s="11" t="s">
        <v>82</v>
      </c>
      <c r="D29" s="23" t="s">
        <v>81</v>
      </c>
      <c r="E29" s="10" t="s">
        <v>121</v>
      </c>
      <c r="F29" s="9"/>
      <c r="G29" s="23" t="s">
        <v>168</v>
      </c>
    </row>
    <row r="30" spans="1:7" ht="25.35" x14ac:dyDescent="0.5">
      <c r="A30" s="12">
        <v>26</v>
      </c>
      <c r="B30" s="9" t="s">
        <v>74</v>
      </c>
      <c r="C30" s="11" t="s">
        <v>80</v>
      </c>
      <c r="D30" s="9" t="s">
        <v>79</v>
      </c>
      <c r="E30" s="10" t="s">
        <v>121</v>
      </c>
      <c r="F30" s="9"/>
      <c r="G30" s="9"/>
    </row>
    <row r="31" spans="1:7" ht="25.35" x14ac:dyDescent="0.5">
      <c r="A31" s="12">
        <v>27</v>
      </c>
      <c r="B31" s="9" t="s">
        <v>74</v>
      </c>
      <c r="C31" s="11" t="s">
        <v>78</v>
      </c>
      <c r="D31" s="9" t="s">
        <v>77</v>
      </c>
      <c r="E31" s="10" t="s">
        <v>121</v>
      </c>
      <c r="F31" s="9"/>
      <c r="G31" s="9"/>
    </row>
    <row r="32" spans="1:7" ht="25.35" x14ac:dyDescent="0.5">
      <c r="A32" s="12">
        <v>28</v>
      </c>
      <c r="B32" s="9" t="s">
        <v>74</v>
      </c>
      <c r="C32" s="11" t="s">
        <v>76</v>
      </c>
      <c r="D32" s="9" t="s">
        <v>75</v>
      </c>
      <c r="E32" s="10" t="s">
        <v>121</v>
      </c>
      <c r="F32" s="9"/>
      <c r="G32" s="9"/>
    </row>
    <row r="33" spans="1:7" ht="25.35" x14ac:dyDescent="0.5">
      <c r="A33" s="12">
        <v>29</v>
      </c>
      <c r="B33" s="9" t="s">
        <v>74</v>
      </c>
      <c r="C33" s="11" t="s">
        <v>73</v>
      </c>
      <c r="D33" s="9" t="s">
        <v>72</v>
      </c>
      <c r="E33" s="10" t="s">
        <v>42</v>
      </c>
      <c r="F33" s="9"/>
      <c r="G33" s="9"/>
    </row>
    <row r="34" spans="1:7" ht="25.35" x14ac:dyDescent="0.5">
      <c r="A34" s="12">
        <v>30</v>
      </c>
      <c r="B34" s="9" t="s">
        <v>59</v>
      </c>
      <c r="C34" s="11" t="s">
        <v>71</v>
      </c>
      <c r="D34" s="9" t="s">
        <v>70</v>
      </c>
      <c r="E34" s="10" t="s">
        <v>121</v>
      </c>
      <c r="F34" s="9"/>
      <c r="G34" s="9"/>
    </row>
    <row r="35" spans="1:7" x14ac:dyDescent="0.5">
      <c r="A35" s="12">
        <v>31</v>
      </c>
      <c r="B35" s="9" t="s">
        <v>59</v>
      </c>
      <c r="C35" s="11" t="s">
        <v>69</v>
      </c>
      <c r="D35" s="9" t="s">
        <v>68</v>
      </c>
      <c r="E35" s="10" t="s">
        <v>121</v>
      </c>
      <c r="F35" s="9"/>
      <c r="G35" s="9"/>
    </row>
    <row r="36" spans="1:7" ht="25.35" x14ac:dyDescent="0.5">
      <c r="A36" s="12">
        <v>32</v>
      </c>
      <c r="B36" s="9" t="s">
        <v>59</v>
      </c>
      <c r="C36" s="11" t="s">
        <v>67</v>
      </c>
      <c r="D36" s="9" t="s">
        <v>66</v>
      </c>
      <c r="E36" s="10" t="s">
        <v>121</v>
      </c>
      <c r="F36" s="9"/>
      <c r="G36" s="9"/>
    </row>
    <row r="37" spans="1:7" x14ac:dyDescent="0.5">
      <c r="A37" s="12">
        <v>33</v>
      </c>
      <c r="B37" s="9" t="s">
        <v>59</v>
      </c>
      <c r="C37" s="11" t="s">
        <v>65</v>
      </c>
      <c r="D37" s="9" t="s">
        <v>64</v>
      </c>
      <c r="E37" s="10" t="s">
        <v>121</v>
      </c>
      <c r="F37" s="9"/>
      <c r="G37" s="9"/>
    </row>
    <row r="38" spans="1:7" ht="25.35" x14ac:dyDescent="0.5">
      <c r="A38" s="12">
        <v>34</v>
      </c>
      <c r="B38" s="9" t="s">
        <v>59</v>
      </c>
      <c r="C38" s="11" t="s">
        <v>63</v>
      </c>
      <c r="D38" s="9" t="s">
        <v>62</v>
      </c>
      <c r="E38" s="10" t="s">
        <v>121</v>
      </c>
      <c r="F38" s="9"/>
      <c r="G38" s="9"/>
    </row>
    <row r="39" spans="1:7" ht="25.35" x14ac:dyDescent="0.5">
      <c r="A39" s="12">
        <v>35</v>
      </c>
      <c r="B39" s="9" t="s">
        <v>59</v>
      </c>
      <c r="C39" s="11" t="s">
        <v>61</v>
      </c>
      <c r="D39" s="9" t="s">
        <v>60</v>
      </c>
      <c r="E39" s="10" t="s">
        <v>121</v>
      </c>
      <c r="F39" s="9"/>
      <c r="G39" s="9"/>
    </row>
    <row r="40" spans="1:7" x14ac:dyDescent="0.5">
      <c r="A40" s="12">
        <v>36</v>
      </c>
      <c r="B40" s="9" t="s">
        <v>59</v>
      </c>
      <c r="C40" s="11" t="s">
        <v>58</v>
      </c>
      <c r="D40" s="9" t="s">
        <v>57</v>
      </c>
      <c r="E40" s="10" t="s">
        <v>121</v>
      </c>
      <c r="F40" s="9"/>
      <c r="G40" s="9"/>
    </row>
    <row r="41" spans="1:7" ht="25.35" x14ac:dyDescent="0.5">
      <c r="A41" s="12">
        <v>37</v>
      </c>
      <c r="B41" s="9" t="s">
        <v>50</v>
      </c>
      <c r="C41" s="11" t="s">
        <v>56</v>
      </c>
      <c r="D41" s="9" t="s">
        <v>55</v>
      </c>
      <c r="E41" s="10" t="s">
        <v>121</v>
      </c>
      <c r="F41" s="9"/>
      <c r="G41" s="9"/>
    </row>
    <row r="42" spans="1:7" ht="25.35" x14ac:dyDescent="0.5">
      <c r="A42" s="12">
        <v>38</v>
      </c>
      <c r="B42" s="9" t="s">
        <v>50</v>
      </c>
      <c r="C42" s="11" t="s">
        <v>54</v>
      </c>
      <c r="D42" s="9" t="s">
        <v>53</v>
      </c>
      <c r="E42" s="10" t="s">
        <v>42</v>
      </c>
      <c r="F42" s="9"/>
      <c r="G42" s="9"/>
    </row>
    <row r="43" spans="1:7" ht="25.35" x14ac:dyDescent="0.5">
      <c r="A43" s="12">
        <v>39</v>
      </c>
      <c r="B43" s="9" t="s">
        <v>50</v>
      </c>
      <c r="C43" s="11" t="s">
        <v>52</v>
      </c>
      <c r="D43" s="9" t="s">
        <v>51</v>
      </c>
      <c r="E43" s="10" t="s">
        <v>42</v>
      </c>
      <c r="F43" s="9"/>
      <c r="G43" s="9"/>
    </row>
    <row r="44" spans="1:7" x14ac:dyDescent="0.5">
      <c r="A44" s="12">
        <v>42</v>
      </c>
      <c r="B44" s="9" t="s">
        <v>45</v>
      </c>
      <c r="C44" s="11" t="s">
        <v>49</v>
      </c>
      <c r="D44" s="9" t="s">
        <v>48</v>
      </c>
      <c r="E44" s="10" t="s">
        <v>42</v>
      </c>
      <c r="F44" s="9"/>
      <c r="G44" s="9"/>
    </row>
    <row r="45" spans="1:7" x14ac:dyDescent="0.5">
      <c r="A45" s="12">
        <v>43</v>
      </c>
      <c r="B45" s="9" t="s">
        <v>45</v>
      </c>
      <c r="C45" s="11" t="s">
        <v>47</v>
      </c>
      <c r="D45" s="9" t="s">
        <v>46</v>
      </c>
      <c r="E45" s="10" t="s">
        <v>42</v>
      </c>
      <c r="F45" s="9"/>
      <c r="G45" s="9"/>
    </row>
    <row r="46" spans="1:7" x14ac:dyDescent="0.5">
      <c r="A46" s="12">
        <v>44</v>
      </c>
      <c r="B46" s="9" t="s">
        <v>45</v>
      </c>
      <c r="C46" s="11" t="s">
        <v>44</v>
      </c>
      <c r="D46" s="9" t="s">
        <v>43</v>
      </c>
      <c r="E46" s="10" t="s">
        <v>42</v>
      </c>
      <c r="F46" s="9"/>
      <c r="G46" s="9"/>
    </row>
  </sheetData>
  <mergeCells count="1">
    <mergeCell ref="A2:G2"/>
  </mergeCells>
  <conditionalFormatting sqref="A9:G46">
    <cfRule type="expression" dxfId="1" priority="1">
      <formula>$E9="Done"</formula>
    </cfRule>
  </conditionalFormatting>
  <conditionalFormatting sqref="E9:E46">
    <cfRule type="expression" dxfId="0" priority="2">
      <formula>$E9="In progress"</formula>
    </cfRule>
  </conditionalFormatting>
  <dataValidations count="1">
    <dataValidation type="list" sqref="E9:E46" xr:uid="{00000000-0002-0000-0000-000000000000}">
      <formula1>"Not started,In progress,Done"</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showGridLines="0" tabSelected="1" zoomScale="90" zoomScaleNormal="90" workbookViewId="0">
      <pane ySplit="1" topLeftCell="A6" activePane="bottomLeft" state="frozen"/>
      <selection pane="bottomLeft" activeCell="M16" sqref="M16"/>
    </sheetView>
  </sheetViews>
  <sheetFormatPr defaultRowHeight="14.35" x14ac:dyDescent="0.5"/>
  <cols>
    <col min="1" max="1" width="8.41015625" bestFit="1" customWidth="1"/>
    <col min="2" max="2" width="16.87890625" bestFit="1" customWidth="1"/>
    <col min="3" max="3" width="22.46875" bestFit="1" customWidth="1"/>
    <col min="4" max="4" width="57.87890625" style="28" customWidth="1"/>
    <col min="5" max="5" width="35.76171875" customWidth="1"/>
  </cols>
  <sheetData>
    <row r="1" spans="1:5" ht="17.7" x14ac:dyDescent="0.55000000000000004">
      <c r="A1" s="26" t="s">
        <v>0</v>
      </c>
      <c r="B1" s="26"/>
      <c r="C1" s="26"/>
    </row>
    <row r="2" spans="1:5" x14ac:dyDescent="0.5">
      <c r="A2" s="27" t="s">
        <v>1</v>
      </c>
      <c r="B2" s="27"/>
      <c r="C2" s="27"/>
      <c r="D2" s="27"/>
    </row>
    <row r="4" spans="1:5" x14ac:dyDescent="0.5">
      <c r="A4" s="1" t="s">
        <v>2</v>
      </c>
      <c r="B4" s="1" t="s">
        <v>3</v>
      </c>
      <c r="C4" s="1" t="s">
        <v>4</v>
      </c>
      <c r="D4" s="1" t="s">
        <v>5</v>
      </c>
      <c r="E4" s="1" t="s">
        <v>6</v>
      </c>
    </row>
    <row r="5" spans="1:5" x14ac:dyDescent="0.5">
      <c r="A5" s="29" t="s">
        <v>7</v>
      </c>
      <c r="B5" s="30" t="s">
        <v>8</v>
      </c>
      <c r="C5" s="29" t="s">
        <v>9</v>
      </c>
      <c r="D5" s="29" t="s">
        <v>169</v>
      </c>
      <c r="E5" s="29" t="s">
        <v>10</v>
      </c>
    </row>
    <row r="6" spans="1:5" ht="38" x14ac:dyDescent="0.5">
      <c r="A6" s="29" t="s">
        <v>7</v>
      </c>
      <c r="B6" s="30" t="s">
        <v>11</v>
      </c>
      <c r="C6" s="29" t="s">
        <v>9</v>
      </c>
      <c r="D6" s="29" t="s">
        <v>12</v>
      </c>
      <c r="E6" s="29" t="s">
        <v>13</v>
      </c>
    </row>
    <row r="7" spans="1:5" ht="25.35" x14ac:dyDescent="0.5">
      <c r="A7" s="31" t="s">
        <v>7</v>
      </c>
      <c r="B7" s="32" t="s">
        <v>14</v>
      </c>
      <c r="C7" s="31" t="s">
        <v>9</v>
      </c>
      <c r="D7" s="31" t="s">
        <v>170</v>
      </c>
      <c r="E7" s="31" t="s">
        <v>15</v>
      </c>
    </row>
    <row r="8" spans="1:5" ht="50.7" x14ac:dyDescent="0.5">
      <c r="A8" s="31" t="s">
        <v>7</v>
      </c>
      <c r="B8" s="32" t="s">
        <v>16</v>
      </c>
      <c r="C8" s="31" t="s">
        <v>9</v>
      </c>
      <c r="D8" s="31" t="s">
        <v>171</v>
      </c>
      <c r="E8" s="31" t="s">
        <v>17</v>
      </c>
    </row>
    <row r="9" spans="1:5" ht="25.35" x14ac:dyDescent="0.5">
      <c r="A9" s="33" t="s">
        <v>7</v>
      </c>
      <c r="B9" s="34" t="s">
        <v>18</v>
      </c>
      <c r="C9" s="33" t="s">
        <v>9</v>
      </c>
      <c r="D9" s="33" t="s">
        <v>19</v>
      </c>
      <c r="E9" s="33" t="s">
        <v>20</v>
      </c>
    </row>
    <row r="10" spans="1:5" ht="25.35" x14ac:dyDescent="0.5">
      <c r="A10" s="2" t="s">
        <v>21</v>
      </c>
      <c r="B10" s="3" t="s">
        <v>22</v>
      </c>
      <c r="C10" s="2" t="s">
        <v>23</v>
      </c>
      <c r="D10" s="2" t="s">
        <v>172</v>
      </c>
      <c r="E10" s="2" t="s">
        <v>24</v>
      </c>
    </row>
    <row r="11" spans="1:5" ht="25.35" x14ac:dyDescent="0.5">
      <c r="A11" s="4" t="s">
        <v>25</v>
      </c>
      <c r="B11" s="5" t="s">
        <v>26</v>
      </c>
      <c r="C11" s="4" t="s">
        <v>27</v>
      </c>
      <c r="D11" s="4" t="s">
        <v>173</v>
      </c>
      <c r="E11" s="4" t="s">
        <v>28</v>
      </c>
    </row>
    <row r="12" spans="1:5" ht="25.35" x14ac:dyDescent="0.5">
      <c r="A12" s="4" t="s">
        <v>25</v>
      </c>
      <c r="B12" s="5" t="s">
        <v>29</v>
      </c>
      <c r="C12" s="4" t="s">
        <v>27</v>
      </c>
      <c r="D12" s="4" t="s">
        <v>174</v>
      </c>
      <c r="E12" s="4" t="s">
        <v>30</v>
      </c>
    </row>
    <row r="13" spans="1:5" ht="25.35" x14ac:dyDescent="0.5">
      <c r="A13" s="4" t="s">
        <v>25</v>
      </c>
      <c r="B13" s="5" t="s">
        <v>31</v>
      </c>
      <c r="C13" s="4" t="s">
        <v>27</v>
      </c>
      <c r="D13" s="4" t="s">
        <v>32</v>
      </c>
      <c r="E13" s="4" t="s">
        <v>33</v>
      </c>
    </row>
    <row r="14" spans="1:5" ht="25.35" x14ac:dyDescent="0.5">
      <c r="A14" s="4" t="s">
        <v>25</v>
      </c>
      <c r="B14" s="5" t="s">
        <v>34</v>
      </c>
      <c r="C14" s="4" t="s">
        <v>27</v>
      </c>
      <c r="D14" s="4" t="s">
        <v>35</v>
      </c>
      <c r="E14" s="4" t="s">
        <v>36</v>
      </c>
    </row>
    <row r="15" spans="1:5" ht="25.35" x14ac:dyDescent="0.5">
      <c r="A15" s="6" t="s">
        <v>37</v>
      </c>
      <c r="B15" s="7" t="s">
        <v>38</v>
      </c>
      <c r="C15" s="6" t="s">
        <v>39</v>
      </c>
      <c r="D15" s="6" t="s">
        <v>40</v>
      </c>
      <c r="E15" s="6" t="s">
        <v>41</v>
      </c>
    </row>
  </sheetData>
  <autoFilter ref="A4:E15" xr:uid="{00000000-0009-0000-0000-000000000000}"/>
  <mergeCells count="2">
    <mergeCell ref="A1:C1"/>
    <mergeCell ref="A2:D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B44-1383-4BD8-B536-1180EC67E71D}">
  <dimension ref="A1:D12"/>
  <sheetViews>
    <sheetView showGridLines="0" zoomScaleNormal="100" workbookViewId="0">
      <selection activeCell="G11" sqref="G11"/>
    </sheetView>
  </sheetViews>
  <sheetFormatPr defaultColWidth="8.703125" defaultRowHeight="14.35" x14ac:dyDescent="0.5"/>
  <cols>
    <col min="1" max="1" width="9" style="8" customWidth="1"/>
    <col min="2" max="2" width="34" style="8" customWidth="1"/>
    <col min="3" max="3" width="24" style="8" customWidth="1"/>
    <col min="4" max="4" width="44" style="8" customWidth="1"/>
    <col min="5" max="16384" width="8.703125" style="8"/>
  </cols>
  <sheetData>
    <row r="1" spans="1:4" ht="17.7" x14ac:dyDescent="0.55000000000000004">
      <c r="A1" s="19" t="s">
        <v>162</v>
      </c>
    </row>
    <row r="2" spans="1:4" x14ac:dyDescent="0.5">
      <c r="A2" s="21" t="s">
        <v>161</v>
      </c>
    </row>
    <row r="4" spans="1:4" x14ac:dyDescent="0.5">
      <c r="A4" s="20" t="s">
        <v>160</v>
      </c>
      <c r="B4" s="20" t="s">
        <v>159</v>
      </c>
      <c r="C4" s="20" t="s">
        <v>67</v>
      </c>
      <c r="D4" s="20" t="s">
        <v>158</v>
      </c>
    </row>
    <row r="5" spans="1:4" x14ac:dyDescent="0.5">
      <c r="A5" s="12">
        <v>3</v>
      </c>
      <c r="B5" s="9" t="s">
        <v>157</v>
      </c>
      <c r="C5" s="9" t="s">
        <v>156</v>
      </c>
      <c r="D5" s="9" t="s">
        <v>155</v>
      </c>
    </row>
    <row r="6" spans="1:4" x14ac:dyDescent="0.5">
      <c r="A6" s="12">
        <v>4</v>
      </c>
      <c r="B6" s="9" t="s">
        <v>154</v>
      </c>
      <c r="C6" s="9" t="s">
        <v>142</v>
      </c>
      <c r="D6" s="9" t="s">
        <v>153</v>
      </c>
    </row>
    <row r="7" spans="1:4" x14ac:dyDescent="0.5">
      <c r="A7" s="12">
        <v>5</v>
      </c>
      <c r="B7" s="9" t="s">
        <v>152</v>
      </c>
      <c r="C7" s="9" t="s">
        <v>151</v>
      </c>
      <c r="D7" s="9" t="s">
        <v>150</v>
      </c>
    </row>
    <row r="8" spans="1:4" x14ac:dyDescent="0.5">
      <c r="A8" s="12">
        <v>6</v>
      </c>
      <c r="B8" s="9" t="s">
        <v>149</v>
      </c>
      <c r="C8" s="9" t="s">
        <v>148</v>
      </c>
      <c r="D8" s="9" t="s">
        <v>147</v>
      </c>
    </row>
    <row r="9" spans="1:4" x14ac:dyDescent="0.5">
      <c r="A9" s="12">
        <v>7</v>
      </c>
      <c r="B9" s="9" t="s">
        <v>146</v>
      </c>
      <c r="C9" s="9" t="s">
        <v>142</v>
      </c>
      <c r="D9" s="9" t="s">
        <v>145</v>
      </c>
    </row>
    <row r="10" spans="1:4" x14ac:dyDescent="0.5">
      <c r="A10" s="12">
        <v>8</v>
      </c>
      <c r="B10" s="9" t="s">
        <v>110</v>
      </c>
      <c r="C10" s="9" t="s">
        <v>140</v>
      </c>
      <c r="D10" s="9" t="s">
        <v>144</v>
      </c>
    </row>
    <row r="11" spans="1:4" x14ac:dyDescent="0.5">
      <c r="A11" s="12">
        <v>9</v>
      </c>
      <c r="B11" s="9" t="s">
        <v>143</v>
      </c>
      <c r="C11" s="9" t="s">
        <v>142</v>
      </c>
      <c r="D11" s="9" t="s">
        <v>141</v>
      </c>
    </row>
    <row r="12" spans="1:4" x14ac:dyDescent="0.5">
      <c r="A12" s="12">
        <v>10</v>
      </c>
      <c r="B12" s="9" t="s">
        <v>108</v>
      </c>
      <c r="C12" s="9" t="s">
        <v>140</v>
      </c>
      <c r="D12" s="9" t="s">
        <v>139</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51cdec9-811d-471d-bbe6-dd3d8d54c28b}" enabled="0" method="" siteId="{e51cdec9-811d-471d-bbe6-dd3d8d54c28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File map</vt:lpstr>
      <vt:lpstr>Search Panel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 Patel</cp:lastModifiedBy>
  <dcterms:created xsi:type="dcterms:W3CDTF">2026-10-11T20:08:02Z</dcterms:created>
  <dcterms:modified xsi:type="dcterms:W3CDTF">2026-10-24T21:43:44Z</dcterms:modified>
</cp:coreProperties>
</file>